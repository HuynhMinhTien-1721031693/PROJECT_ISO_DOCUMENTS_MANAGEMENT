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HuynhMinhTien\CONG NGHE .NET\PROJECT_ISO_DOCUMENTS_MANAGEMENT\BAO CAO TUNG TUAN\"/>
    </mc:Choice>
  </mc:AlternateContent>
  <xr:revisionPtr revIDLastSave="0" documentId="13_ncr:1_{F7C56247-6F8A-4C45-992E-B2A0D1229E6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hanCong12Tuan" sheetId="1" r:id="rId1"/>
    <sheet name="TongHop" sheetId="2" r:id="rId2"/>
    <sheet name="ThanhVien" sheetId="3" r:id="rId3"/>
  </sheets>
  <definedNames>
    <definedName name="_xlnm._FilterDatabase" localSheetId="0" hidden="1">PhanCong12Tuan!$A$3:$S$8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9" i="1" l="1"/>
  <c r="S8" i="1"/>
  <c r="S7" i="1"/>
  <c r="S6" i="1"/>
  <c r="S5" i="1"/>
  <c r="S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F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Phân công theo vai trò Fullstack trong dự án quản lý hồ sơ ISO 9001.</t>
        </r>
      </text>
    </comment>
    <comment ref="F5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Phân công theo vai trò Database trong dự án quản lý hồ sơ ISO 9001.</t>
        </r>
      </text>
    </comment>
    <comment ref="F6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Phân công theo vai trò Tester trong dự án quản lý hồ sơ ISO 9001.</t>
        </r>
      </text>
    </comment>
    <comment ref="F7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Phân công theo vai trò Tester trong dự án quản lý hồ sơ ISO 9001.</t>
        </r>
      </text>
    </comment>
    <comment ref="F8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Phân công theo vai trò FE trong dự án quản lý hồ sơ ISO 9001.</t>
        </r>
      </text>
    </comment>
  </commentList>
</comments>
</file>

<file path=xl/sharedStrings.xml><?xml version="1.0" encoding="utf-8"?>
<sst xmlns="http://schemas.openxmlformats.org/spreadsheetml/2006/main" count="217" uniqueCount="168">
  <si>
    <t>PHÂN CÔNG CÔNG VIỆC 12 TUẦN - DỰ ÁN QUẢN LÝ HỒ SƠ ISO 9001</t>
  </si>
  <si>
    <t>STT</t>
  </si>
  <si>
    <t>MSSV</t>
  </si>
  <si>
    <t>Họ đệm</t>
  </si>
  <si>
    <t>Tên</t>
  </si>
  <si>
    <t>Nhóm</t>
  </si>
  <si>
    <t>Vai trò</t>
  </si>
  <si>
    <t>Tuần 1</t>
  </si>
  <si>
    <t>Tuần 2</t>
  </si>
  <si>
    <t>Tuần 3</t>
  </si>
  <si>
    <t>Tuần 4</t>
  </si>
  <si>
    <t>Tuần 5</t>
  </si>
  <si>
    <t>Tuần 6</t>
  </si>
  <si>
    <t>Tuần 7</t>
  </si>
  <si>
    <t>Tuần 8</t>
  </si>
  <si>
    <t>Tuần 9</t>
  </si>
  <si>
    <t>Tuần 10</t>
  </si>
  <si>
    <t>Tuần 11</t>
  </si>
  <si>
    <t>Tuần 12</t>
  </si>
  <si>
    <t>Tổng tuần</t>
  </si>
  <si>
    <t>1721031693</t>
  </si>
  <si>
    <t>Huỳnh Minh</t>
  </si>
  <si>
    <t>Tiến</t>
  </si>
  <si>
    <t>FullStack</t>
  </si>
  <si>
    <t>Khởi tạo kiến trúc tổng thể, chuẩn hóa cấu trúc source</t>
  </si>
  <si>
    <t>Đặc tả API, phân quyền và quy tắc nghiệp vụ cốt lõi</t>
  </si>
  <si>
    <t>Dựng backend base, JWT auth, middleware phân quyền</t>
  </si>
  <si>
    <t>Tích hợp DB + API cho tài liệu và hồ sơ</t>
  </si>
  <si>
    <t>Phát triển workflow duyệt tài liệu nhiều bước</t>
  </si>
  <si>
    <t>Hoàn thiện module phát hành/thu hồi tài liệu</t>
  </si>
  <si>
    <t>Tích hợp thông báo hệ thống và nhật ký hành động</t>
  </si>
  <si>
    <t>Tối ưu API, chuẩn hóa response/error handling</t>
  </si>
  <si>
    <t>Tích hợp dashboard dữ liệu cho FE</t>
  </si>
  <si>
    <t>Fix bug tích hợp FE/BE, hoàn thiện chức năng chính</t>
  </si>
  <si>
    <t>Hỗ trợ UAT, xử lý lỗi phát sinh cuối kỳ</t>
  </si>
  <si>
    <t>Build release, deploy demo, chuẩn bị thuyết trình</t>
  </si>
  <si>
    <t>1721031670</t>
  </si>
  <si>
    <t>Nguyễn Công</t>
  </si>
  <si>
    <t>Anh</t>
  </si>
  <si>
    <t>Database</t>
  </si>
  <si>
    <t>Phân tích thực thể dữ liệu ISO, quy tắc version</t>
  </si>
  <si>
    <t>Thiết kế ERD, chuẩn hóa quan hệ và ràng buộc</t>
  </si>
  <si>
    <t>Tạo schema, migration và seed dữ liệu mẫu</t>
  </si>
  <si>
    <t>Xây index, constraint, tối ưu khóa ngoại</t>
  </si>
  <si>
    <t>Viết store/query cho soạn thảo - duyệt - phát hành</t>
  </si>
  <si>
    <t>Thiết kế bảng hồ sơ lưu trữ và thời hạn lưu giữ</t>
  </si>
  <si>
    <t>Bổ sung bảng log, audit trail, lịch sử phiên bản</t>
  </si>
  <si>
    <t>Tối ưu truy vấn tra cứu theo mã/chủ đề/trạng thái</t>
  </si>
  <si>
    <t>Tạo query thống kê báo cáo dashboard</t>
  </si>
  <si>
    <t>Kiểm tra hiệu năng, backup/restore và an toàn dữ liệu</t>
  </si>
  <si>
    <t>Hỗ trợ test dữ liệu, xử lý lỗi integrity</t>
  </si>
  <si>
    <t>Bàn giao tài liệu DB, sơ đồ và script triển khai</t>
  </si>
  <si>
    <t>1822041903</t>
  </si>
  <si>
    <t>Trần Minh</t>
  </si>
  <si>
    <t>Tâm</t>
  </si>
  <si>
    <t>FE</t>
  </si>
  <si>
    <t>Phân tích UI nghiệp vụ, phác thảo flow màn hình</t>
  </si>
  <si>
    <t>Thiết kế wireframe module tài liệu/hồ sơ</t>
  </si>
  <si>
    <t>Dựng layout tổng, navbar/sidebar và routing</t>
  </si>
  <si>
    <t>Xây component dùng chung: table, form, modal</t>
  </si>
  <si>
    <t>Làm UI danh sách tài liệu + form tạo/chỉnh sửa</t>
  </si>
  <si>
    <t>Làm UI quy trình duyệt, trạng thái và thao tác</t>
  </si>
  <si>
    <t>Làm UI quản lý hồ sơ, bộ lọc và tìm kiếm</t>
  </si>
  <si>
    <t>Xây UI lịch sử thay đổi và audit trail</t>
  </si>
  <si>
    <t>Làm dashboard biểu đồ và thẻ thống kê</t>
  </si>
  <si>
    <t>Tối ưu responsive, accessibility và UX</t>
  </si>
  <si>
    <t>Sửa lỗi UI theo UAT và phản hồi nhóm</t>
  </si>
  <si>
    <t>Hoàn thiện giao diện trình bày demo</t>
  </si>
  <si>
    <t>1822041823</t>
  </si>
  <si>
    <t>Phạm Đức</t>
  </si>
  <si>
    <t>Tùng</t>
  </si>
  <si>
    <t>Chuẩn hóa style guide, typography, màu và spacing</t>
  </si>
  <si>
    <t>Tạo UI kit và tài nguyên component tái sử dụng</t>
  </si>
  <si>
    <t>Hỗ trợ prototype luồng thao tác người dùng</t>
  </si>
  <si>
    <t>Tích hợp FE với API auth và phân quyền hiển thị</t>
  </si>
  <si>
    <t>Tích hợp FE module tài liệu với backend</t>
  </si>
  <si>
    <t>Tích hợp FE module hồ sơ và trạng thái</t>
  </si>
  <si>
    <t>Tối ưu form validation và thông báo lỗi</t>
  </si>
  <si>
    <t>Bổ sung upload/download và preview tài liệu</t>
  </si>
  <si>
    <t>Hoàn thiện trang báo cáo, bộ lọc nâng cao</t>
  </si>
  <si>
    <t>Tối ưu hiệu năng FE, giảm render thừa</t>
  </si>
  <si>
    <t>Fix bug FE, đồng bộ trải nghiệm toàn hệ thống</t>
  </si>
  <si>
    <t>Chuẩn bị dữ liệu và kịch bản demo UI</t>
  </si>
  <si>
    <t>1822040198</t>
  </si>
  <si>
    <t>Nguyễn Đỗ Khôi</t>
  </si>
  <si>
    <t>Nguyên</t>
  </si>
  <si>
    <t>Tester</t>
  </si>
  <si>
    <t>Lập test strategy, checklist chất lượng hệ thống</t>
  </si>
  <si>
    <t>Viết test case chức năng tài liệu theo use case</t>
  </si>
  <si>
    <t>Test auth, phân quyền vai trò và bảo mật phiên</t>
  </si>
  <si>
    <t>Test CRUD tài liệu, validate dữ liệu đầu vào</t>
  </si>
  <si>
    <t>Test workflow duyệt/từ chối/phiên bản tài liệu</t>
  </si>
  <si>
    <t>Test module hồ sơ: lưu trữ, tìm kiếm, lọc</t>
  </si>
  <si>
    <t>Kiểm thử upload/download, định dạng file</t>
  </si>
  <si>
    <t>Regression test sau mỗi đợt fix</t>
  </si>
  <si>
    <t>Test dashboard và tính đúng của số liệu</t>
  </si>
  <si>
    <t>Test tích hợp end-to-end toàn luồng</t>
  </si>
  <si>
    <t>Hỗ trợ UAT, xác nhận bug và retest</t>
  </si>
  <si>
    <t>Lập biên bản test và checklist nghiệm thu</t>
  </si>
  <si>
    <t>1822040073</t>
  </si>
  <si>
    <t>Vũ Đào Tiến</t>
  </si>
  <si>
    <t>Phát</t>
  </si>
  <si>
    <t>Thiết lập môi trường test, mẫu dữ liệu kiểm thử</t>
  </si>
  <si>
    <t>Viết test case UI/UX và luồng thao tác người dùng</t>
  </si>
  <si>
    <t>Test khả năng dùng trên các màn hình phổ biến</t>
  </si>
  <si>
    <t>Test thông báo lỗi, toast, trạng thái phản hồi</t>
  </si>
  <si>
    <t>Test phân quyền theo tình huống biên</t>
  </si>
  <si>
    <t>Test tốc độ phản hồi các trang chính</t>
  </si>
  <si>
    <t>Kiểm thử độ ổn định sau tích hợp</t>
  </si>
  <si>
    <t>Quản lý bug list, theo dõi tiến độ fix</t>
  </si>
  <si>
    <t>Kiểm tra báo cáo xuất dữ liệu và định dạng</t>
  </si>
  <si>
    <t>Kiểm thử hồi quy vòng cuối trước UAT</t>
  </si>
  <si>
    <t>Hỗ trợ người dùng thử, ghi nhận góp ý</t>
  </si>
  <si>
    <t>Tổng hợp kết quả test, đề xuất cải tiến</t>
  </si>
  <si>
    <t>TỔNG HỢP THEO TUẦN</t>
  </si>
  <si>
    <t>Tuần</t>
  </si>
  <si>
    <t>Mục tiêu chính</t>
  </si>
  <si>
    <t>Sản phẩm đầu ra</t>
  </si>
  <si>
    <t>Vai trò dẫn dắt</t>
  </si>
  <si>
    <t>Khởi động &amp; chốt phạm vi</t>
  </si>
  <si>
    <t>Yêu cầu, phạm vi, sơ đồ nghiệp vụ tổng quan</t>
  </si>
  <si>
    <t>FullStack + Database</t>
  </si>
  <si>
    <t>Phân tích chi tiết</t>
  </si>
  <si>
    <t>Use case, rule nghiệp vụ, tài liệu đặc tả</t>
  </si>
  <si>
    <t>Thiết kế kỹ thuật</t>
  </si>
  <si>
    <t>ERD, kiến trúc API, wireframe/UI kit</t>
  </si>
  <si>
    <t>Database + FE</t>
  </si>
  <si>
    <t>Xây nền tảng</t>
  </si>
  <si>
    <t>Auth, phân quyền, khung BE/FE tích hợp DB</t>
  </si>
  <si>
    <t>FullStack + FE</t>
  </si>
  <si>
    <t>Module tài liệu</t>
  </si>
  <si>
    <t>Soạn thảo/chỉnh sửa/duyệt phiên bản tài liệu</t>
  </si>
  <si>
    <t>Module hồ sơ ISO</t>
  </si>
  <si>
    <t>Lưu trữ, tra cứu, lọc và theo dõi hồ sơ</t>
  </si>
  <si>
    <t>Workflow vận hành</t>
  </si>
  <si>
    <t>Thông báo, trạng thái xử lý, nhật ký thao tác</t>
  </si>
  <si>
    <t>Audit trail &amp; chất lượng</t>
  </si>
  <si>
    <t>Log lịch sử, regression test, sửa lỗi chính</t>
  </si>
  <si>
    <t>Tester + FullStack</t>
  </si>
  <si>
    <t>Báo cáo &amp; dashboard</t>
  </si>
  <si>
    <t>Thống kê tài liệu/hồ sơ, biểu đồ theo trạng thái</t>
  </si>
  <si>
    <t>FE + Database</t>
  </si>
  <si>
    <t>Kiểm thử tích hợp</t>
  </si>
  <si>
    <t>Kết quả E2E, danh sách lỗi, bản ổn định</t>
  </si>
  <si>
    <t>UAT &amp; hoàn thiện (mở rộng)</t>
  </si>
  <si>
    <t>Biên bản UAT, fix bug cuối, hoàn thiện UX</t>
  </si>
  <si>
    <t>Tester + FE</t>
  </si>
  <si>
    <t>Bàn giao &amp; demo (mở rộng)</t>
  </si>
  <si>
    <t>Tài liệu bàn giao, hướng dẫn sử dụng, demo</t>
  </si>
  <si>
    <t>FullStack + cả nhóm</t>
  </si>
  <si>
    <t>PHÂN CHIA CÔNG VIỆC THEO PHẦN</t>
  </si>
  <si>
    <t>Phần 1 (Tuần 1-3)</t>
  </si>
  <si>
    <t>Phân tích yêu cầu và thiết kế hệ thống</t>
  </si>
  <si>
    <t>SRS, Use case, ERD, API draft, Wireframe</t>
  </si>
  <si>
    <t>FullStack + Database + FE</t>
  </si>
  <si>
    <t>Phần 2 (Tuần 4-6)</t>
  </si>
  <si>
    <t>Phát triển chức năng cốt lõi</t>
  </si>
  <si>
    <t>Auth, phân quyền, module tài liệu/hồ sơ</t>
  </si>
  <si>
    <t>FullStack + FE + Database</t>
  </si>
  <si>
    <t>Phần 3 (Tuần 7-9)</t>
  </si>
  <si>
    <t>Tích hợp, nhật ký và báo cáo</t>
  </si>
  <si>
    <t>Workflow, audit trail, dashboard</t>
  </si>
  <si>
    <t>FullStack + FE + Tester</t>
  </si>
  <si>
    <t>Phần 4 (Tuần 10-12)</t>
  </si>
  <si>
    <t>Kiểm thử, UAT, bàn giao</t>
  </si>
  <si>
    <t>Báo cáo test, bản ổn định, demo cuối kỳ</t>
  </si>
  <si>
    <t>Tester + cả nhóm</t>
  </si>
  <si>
    <t>DANH SÁCH THÀNH VIÊN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</si>
</sst>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1F1F"/>
      <name val="Calibri"/>
    </font>
    <font>
      <b/>
      <sz val="11"/>
      <color rgb="FFFFFFFF"/>
      <name val="Calibri"/>
    </font>
    <font>
      <b/>
      <sz val="11"/>
      <name val="Calibri"/>
    </font>
    <font>
      <i/>
      <sz val="11"/>
      <color rgb="FF666666"/>
      <name val="Calibri"/>
    </font>
    <font>
      <b/>
      <sz val="11"/>
      <color theme="1"/>
      <name val="Calibri"/>
      <family val="2"/>
      <charset val="163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3E5F5"/>
      </patternFill>
    </fill>
    <fill>
      <patternFill patternType="solid">
        <fgColor rgb="FFFCE4D6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4E78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4" fillId="0" borderId="0" xfId="0" applyFont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5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"/>
  <sheetViews>
    <sheetView showGridLines="0" workbookViewId="0">
      <pane xSplit="6" ySplit="3" topLeftCell="H4" activePane="bottomRight" state="frozen"/>
      <selection pane="topRight"/>
      <selection pane="bottomLeft"/>
      <selection pane="bottomRight" activeCell="B4" sqref="B4"/>
    </sheetView>
  </sheetViews>
  <sheetFormatPr defaultRowHeight="14.4" x14ac:dyDescent="0.3"/>
  <cols>
    <col min="1" max="1" width="8" style="9" customWidth="1"/>
    <col min="2" max="2" width="14" style="9" customWidth="1"/>
    <col min="3" max="3" width="18" style="9" customWidth="1"/>
    <col min="4" max="4" width="12" style="9" customWidth="1"/>
    <col min="5" max="5" width="8" style="9" customWidth="1"/>
    <col min="6" max="6" width="14" style="9" customWidth="1"/>
    <col min="7" max="18" width="22" style="9" customWidth="1"/>
    <col min="19" max="19" width="15.6640625" style="9" customWidth="1"/>
  </cols>
  <sheetData>
    <row r="1" spans="1:19" x14ac:dyDescent="0.3">
      <c r="A1" s="12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3" spans="1:19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</row>
    <row r="4" spans="1:19" ht="42" customHeight="1" x14ac:dyDescent="0.3">
      <c r="A4" s="2">
        <v>1</v>
      </c>
      <c r="B4" s="2" t="s">
        <v>20</v>
      </c>
      <c r="C4" s="3" t="s">
        <v>21</v>
      </c>
      <c r="D4" s="2" t="s">
        <v>22</v>
      </c>
      <c r="E4" s="2">
        <v>1</v>
      </c>
      <c r="F4" s="4" t="s">
        <v>23</v>
      </c>
      <c r="G4" s="3" t="s">
        <v>24</v>
      </c>
      <c r="H4" s="3" t="s">
        <v>25</v>
      </c>
      <c r="I4" s="3" t="s">
        <v>26</v>
      </c>
      <c r="J4" s="3" t="s">
        <v>27</v>
      </c>
      <c r="K4" s="3" t="s">
        <v>28</v>
      </c>
      <c r="L4" s="3" t="s">
        <v>29</v>
      </c>
      <c r="M4" s="3" t="s">
        <v>30</v>
      </c>
      <c r="N4" s="3" t="s">
        <v>31</v>
      </c>
      <c r="O4" s="3" t="s">
        <v>32</v>
      </c>
      <c r="P4" s="3" t="s">
        <v>33</v>
      </c>
      <c r="Q4" s="3" t="s">
        <v>34</v>
      </c>
      <c r="R4" s="3" t="s">
        <v>35</v>
      </c>
      <c r="S4" s="2">
        <f t="shared" ref="S4:S9" si="0">COUNTA(G4:R4)</f>
        <v>12</v>
      </c>
    </row>
    <row r="5" spans="1:19" ht="42" customHeight="1" x14ac:dyDescent="0.3">
      <c r="A5" s="2">
        <v>2</v>
      </c>
      <c r="B5" s="2" t="s">
        <v>36</v>
      </c>
      <c r="C5" s="3" t="s">
        <v>37</v>
      </c>
      <c r="D5" s="2" t="s">
        <v>38</v>
      </c>
      <c r="E5" s="2">
        <v>1</v>
      </c>
      <c r="F5" s="5" t="s">
        <v>39</v>
      </c>
      <c r="G5" s="3" t="s">
        <v>40</v>
      </c>
      <c r="H5" s="3" t="s">
        <v>41</v>
      </c>
      <c r="I5" s="3" t="s">
        <v>42</v>
      </c>
      <c r="J5" s="3" t="s">
        <v>43</v>
      </c>
      <c r="K5" s="3" t="s">
        <v>44</v>
      </c>
      <c r="L5" s="3" t="s">
        <v>45</v>
      </c>
      <c r="M5" s="3" t="s">
        <v>46</v>
      </c>
      <c r="N5" s="3" t="s">
        <v>47</v>
      </c>
      <c r="O5" s="3" t="s">
        <v>48</v>
      </c>
      <c r="P5" s="3" t="s">
        <v>49</v>
      </c>
      <c r="Q5" s="3" t="s">
        <v>50</v>
      </c>
      <c r="R5" s="3" t="s">
        <v>51</v>
      </c>
      <c r="S5" s="2">
        <f t="shared" si="0"/>
        <v>12</v>
      </c>
    </row>
    <row r="6" spans="1:19" ht="42" customHeight="1" x14ac:dyDescent="0.3">
      <c r="A6" s="2">
        <v>3</v>
      </c>
      <c r="B6" s="2" t="s">
        <v>52</v>
      </c>
      <c r="C6" s="3" t="s">
        <v>53</v>
      </c>
      <c r="D6" s="2" t="s">
        <v>54</v>
      </c>
      <c r="E6" s="2">
        <v>1</v>
      </c>
      <c r="F6" s="6" t="s">
        <v>55</v>
      </c>
      <c r="G6" s="3" t="s">
        <v>56</v>
      </c>
      <c r="H6" s="3" t="s">
        <v>57</v>
      </c>
      <c r="I6" s="3" t="s">
        <v>58</v>
      </c>
      <c r="J6" s="3" t="s">
        <v>59</v>
      </c>
      <c r="K6" s="3" t="s">
        <v>60</v>
      </c>
      <c r="L6" s="3" t="s">
        <v>61</v>
      </c>
      <c r="M6" s="3" t="s">
        <v>62</v>
      </c>
      <c r="N6" s="3" t="s">
        <v>63</v>
      </c>
      <c r="O6" s="3" t="s">
        <v>64</v>
      </c>
      <c r="P6" s="3" t="s">
        <v>65</v>
      </c>
      <c r="Q6" s="3" t="s">
        <v>66</v>
      </c>
      <c r="R6" s="3" t="s">
        <v>67</v>
      </c>
      <c r="S6" s="2">
        <f t="shared" si="0"/>
        <v>12</v>
      </c>
    </row>
    <row r="7" spans="1:19" ht="42" customHeight="1" x14ac:dyDescent="0.3">
      <c r="A7" s="2">
        <v>4</v>
      </c>
      <c r="B7" s="2" t="s">
        <v>68</v>
      </c>
      <c r="C7" s="3" t="s">
        <v>69</v>
      </c>
      <c r="D7" s="2" t="s">
        <v>70</v>
      </c>
      <c r="E7" s="2">
        <v>1</v>
      </c>
      <c r="F7" s="6" t="s">
        <v>55</v>
      </c>
      <c r="G7" s="3" t="s">
        <v>71</v>
      </c>
      <c r="H7" s="3" t="s">
        <v>72</v>
      </c>
      <c r="I7" s="3" t="s">
        <v>73</v>
      </c>
      <c r="J7" s="3" t="s">
        <v>74</v>
      </c>
      <c r="K7" s="3" t="s">
        <v>75</v>
      </c>
      <c r="L7" s="3" t="s">
        <v>76</v>
      </c>
      <c r="M7" s="3" t="s">
        <v>77</v>
      </c>
      <c r="N7" s="3" t="s">
        <v>78</v>
      </c>
      <c r="O7" s="3" t="s">
        <v>79</v>
      </c>
      <c r="P7" s="3" t="s">
        <v>80</v>
      </c>
      <c r="Q7" s="3" t="s">
        <v>81</v>
      </c>
      <c r="R7" s="3" t="s">
        <v>82</v>
      </c>
      <c r="S7" s="2">
        <f t="shared" si="0"/>
        <v>12</v>
      </c>
    </row>
    <row r="8" spans="1:19" ht="42" customHeight="1" x14ac:dyDescent="0.3">
      <c r="A8" s="2">
        <v>5</v>
      </c>
      <c r="B8" s="2" t="s">
        <v>83</v>
      </c>
      <c r="C8" s="3" t="s">
        <v>84</v>
      </c>
      <c r="D8" s="2" t="s">
        <v>85</v>
      </c>
      <c r="E8" s="2">
        <v>1</v>
      </c>
      <c r="F8" s="7" t="s">
        <v>86</v>
      </c>
      <c r="G8" s="3" t="s">
        <v>87</v>
      </c>
      <c r="H8" s="3" t="s">
        <v>88</v>
      </c>
      <c r="I8" s="3" t="s">
        <v>89</v>
      </c>
      <c r="J8" s="3" t="s">
        <v>90</v>
      </c>
      <c r="K8" s="3" t="s">
        <v>91</v>
      </c>
      <c r="L8" s="3" t="s">
        <v>92</v>
      </c>
      <c r="M8" s="3" t="s">
        <v>93</v>
      </c>
      <c r="N8" s="3" t="s">
        <v>94</v>
      </c>
      <c r="O8" s="3" t="s">
        <v>95</v>
      </c>
      <c r="P8" s="3" t="s">
        <v>96</v>
      </c>
      <c r="Q8" s="3" t="s">
        <v>97</v>
      </c>
      <c r="R8" s="3" t="s">
        <v>98</v>
      </c>
      <c r="S8" s="2">
        <f t="shared" si="0"/>
        <v>12</v>
      </c>
    </row>
    <row r="9" spans="1:19" x14ac:dyDescent="0.3">
      <c r="A9">
        <v>6</v>
      </c>
      <c r="B9" t="s">
        <v>99</v>
      </c>
      <c r="C9" t="s">
        <v>100</v>
      </c>
      <c r="D9" t="s">
        <v>101</v>
      </c>
      <c r="E9">
        <v>1</v>
      </c>
      <c r="F9" t="s">
        <v>86</v>
      </c>
      <c r="G9" t="s">
        <v>102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109</v>
      </c>
      <c r="O9" t="s">
        <v>110</v>
      </c>
      <c r="P9" t="s">
        <v>111</v>
      </c>
      <c r="Q9" t="s">
        <v>112</v>
      </c>
      <c r="R9" t="s">
        <v>113</v>
      </c>
      <c r="S9">
        <f t="shared" si="0"/>
        <v>12</v>
      </c>
    </row>
    <row r="10" spans="1:19" x14ac:dyDescent="0.3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</row>
  </sheetData>
  <autoFilter ref="A3:S8" xr:uid="{00000000-0009-0000-0000-000000000000}"/>
  <mergeCells count="2">
    <mergeCell ref="A10:R10"/>
    <mergeCell ref="A1:S1"/>
  </mergeCell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showGridLines="0" workbookViewId="0">
      <pane ySplit="2" topLeftCell="A8" activePane="bottomLeft" state="frozen"/>
      <selection pane="bottomLeft" sqref="A1:D1"/>
    </sheetView>
  </sheetViews>
  <sheetFormatPr defaultRowHeight="14.4" x14ac:dyDescent="0.3"/>
  <cols>
    <col min="1" max="1" width="10" style="9" customWidth="1"/>
    <col min="2" max="2" width="24" style="9" customWidth="1"/>
    <col min="3" max="3" width="52" style="9" customWidth="1"/>
    <col min="4" max="4" width="20" style="9" customWidth="1"/>
  </cols>
  <sheetData>
    <row r="1" spans="1:4" x14ac:dyDescent="0.3">
      <c r="A1" s="12" t="s">
        <v>114</v>
      </c>
      <c r="B1" s="11"/>
      <c r="C1" s="11"/>
      <c r="D1" s="11"/>
    </row>
    <row r="2" spans="1:4" x14ac:dyDescent="0.3">
      <c r="A2" s="8" t="s">
        <v>115</v>
      </c>
      <c r="B2" s="8" t="s">
        <v>116</v>
      </c>
      <c r="C2" s="8" t="s">
        <v>117</v>
      </c>
      <c r="D2" s="8" t="s">
        <v>118</v>
      </c>
    </row>
    <row r="3" spans="1:4" ht="34.049999999999997" customHeight="1" x14ac:dyDescent="0.3">
      <c r="A3" s="2" t="s">
        <v>7</v>
      </c>
      <c r="B3" s="3" t="s">
        <v>119</v>
      </c>
      <c r="C3" s="3" t="s">
        <v>120</v>
      </c>
      <c r="D3" s="3" t="s">
        <v>121</v>
      </c>
    </row>
    <row r="4" spans="1:4" ht="34.049999999999997" customHeight="1" x14ac:dyDescent="0.3">
      <c r="A4" s="2" t="s">
        <v>8</v>
      </c>
      <c r="B4" s="3" t="s">
        <v>122</v>
      </c>
      <c r="C4" s="3" t="s">
        <v>123</v>
      </c>
      <c r="D4" s="3" t="s">
        <v>23</v>
      </c>
    </row>
    <row r="5" spans="1:4" ht="34.049999999999997" customHeight="1" x14ac:dyDescent="0.3">
      <c r="A5" s="2" t="s">
        <v>9</v>
      </c>
      <c r="B5" s="3" t="s">
        <v>124</v>
      </c>
      <c r="C5" s="3" t="s">
        <v>125</v>
      </c>
      <c r="D5" s="3" t="s">
        <v>126</v>
      </c>
    </row>
    <row r="6" spans="1:4" ht="34.049999999999997" customHeight="1" x14ac:dyDescent="0.3">
      <c r="A6" s="2" t="s">
        <v>10</v>
      </c>
      <c r="B6" s="3" t="s">
        <v>127</v>
      </c>
      <c r="C6" s="3" t="s">
        <v>128</v>
      </c>
      <c r="D6" s="3" t="s">
        <v>129</v>
      </c>
    </row>
    <row r="7" spans="1:4" ht="34.049999999999997" customHeight="1" x14ac:dyDescent="0.3">
      <c r="A7" s="2" t="s">
        <v>11</v>
      </c>
      <c r="B7" s="3" t="s">
        <v>130</v>
      </c>
      <c r="C7" s="3" t="s">
        <v>131</v>
      </c>
      <c r="D7" s="3" t="s">
        <v>129</v>
      </c>
    </row>
    <row r="8" spans="1:4" ht="34.049999999999997" customHeight="1" x14ac:dyDescent="0.3">
      <c r="A8" s="2" t="s">
        <v>12</v>
      </c>
      <c r="B8" s="3" t="s">
        <v>132</v>
      </c>
      <c r="C8" s="3" t="s">
        <v>133</v>
      </c>
      <c r="D8" s="3" t="s">
        <v>126</v>
      </c>
    </row>
    <row r="9" spans="1:4" ht="34.049999999999997" customHeight="1" x14ac:dyDescent="0.3">
      <c r="A9" s="2" t="s">
        <v>13</v>
      </c>
      <c r="B9" s="3" t="s">
        <v>134</v>
      </c>
      <c r="C9" s="3" t="s">
        <v>135</v>
      </c>
      <c r="D9" s="3" t="s">
        <v>23</v>
      </c>
    </row>
    <row r="10" spans="1:4" ht="34.049999999999997" customHeight="1" x14ac:dyDescent="0.3">
      <c r="A10" s="2" t="s">
        <v>14</v>
      </c>
      <c r="B10" s="3" t="s">
        <v>136</v>
      </c>
      <c r="C10" s="3" t="s">
        <v>137</v>
      </c>
      <c r="D10" s="3" t="s">
        <v>138</v>
      </c>
    </row>
    <row r="11" spans="1:4" ht="34.049999999999997" customHeight="1" x14ac:dyDescent="0.3">
      <c r="A11" s="2" t="s">
        <v>15</v>
      </c>
      <c r="B11" s="3" t="s">
        <v>139</v>
      </c>
      <c r="C11" s="3" t="s">
        <v>140</v>
      </c>
      <c r="D11" s="3" t="s">
        <v>141</v>
      </c>
    </row>
    <row r="12" spans="1:4" ht="34.049999999999997" customHeight="1" x14ac:dyDescent="0.3">
      <c r="A12" s="2" t="s">
        <v>16</v>
      </c>
      <c r="B12" s="3" t="s">
        <v>142</v>
      </c>
      <c r="C12" s="3" t="s">
        <v>143</v>
      </c>
      <c r="D12" s="3" t="s">
        <v>86</v>
      </c>
    </row>
    <row r="13" spans="1:4" ht="34.049999999999997" customHeight="1" x14ac:dyDescent="0.3">
      <c r="A13" s="2" t="s">
        <v>17</v>
      </c>
      <c r="B13" s="3" t="s">
        <v>144</v>
      </c>
      <c r="C13" s="3" t="s">
        <v>145</v>
      </c>
      <c r="D13" s="3" t="s">
        <v>146</v>
      </c>
    </row>
    <row r="14" spans="1:4" ht="34.049999999999997" customHeight="1" x14ac:dyDescent="0.3">
      <c r="A14" s="2" t="s">
        <v>18</v>
      </c>
      <c r="B14" s="3" t="s">
        <v>147</v>
      </c>
      <c r="C14" s="3" t="s">
        <v>148</v>
      </c>
      <c r="D14" s="3" t="s">
        <v>149</v>
      </c>
    </row>
    <row r="16" spans="1:4" x14ac:dyDescent="0.3">
      <c r="A16" t="s">
        <v>150</v>
      </c>
    </row>
    <row r="17" spans="1:4" x14ac:dyDescent="0.3">
      <c r="A17" t="s">
        <v>151</v>
      </c>
      <c r="B17" t="s">
        <v>152</v>
      </c>
      <c r="C17" t="s">
        <v>153</v>
      </c>
      <c r="D17" t="s">
        <v>154</v>
      </c>
    </row>
    <row r="18" spans="1:4" x14ac:dyDescent="0.3">
      <c r="A18" t="s">
        <v>155</v>
      </c>
      <c r="B18" t="s">
        <v>156</v>
      </c>
      <c r="C18" t="s">
        <v>157</v>
      </c>
      <c r="D18" t="s">
        <v>158</v>
      </c>
    </row>
    <row r="19" spans="1:4" x14ac:dyDescent="0.3">
      <c r="A19" t="s">
        <v>159</v>
      </c>
      <c r="B19" t="s">
        <v>160</v>
      </c>
      <c r="C19" t="s">
        <v>161</v>
      </c>
      <c r="D19" t="s">
        <v>162</v>
      </c>
    </row>
    <row r="20" spans="1:4" x14ac:dyDescent="0.3">
      <c r="A20" t="s">
        <v>163</v>
      </c>
      <c r="B20" t="s">
        <v>164</v>
      </c>
      <c r="C20" t="s">
        <v>165</v>
      </c>
      <c r="D20" t="s">
        <v>166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showGridLines="0" tabSelected="1" workbookViewId="0">
      <pane ySplit="2" topLeftCell="A3" activePane="bottomLeft" state="frozen"/>
      <selection pane="bottomLeft" activeCell="I23" sqref="I23"/>
    </sheetView>
  </sheetViews>
  <sheetFormatPr defaultRowHeight="14.4" x14ac:dyDescent="0.3"/>
  <cols>
    <col min="1" max="1" width="8" style="9" customWidth="1"/>
    <col min="2" max="2" width="14" style="9" customWidth="1"/>
    <col min="3" max="3" width="18" style="9" customWidth="1"/>
    <col min="4" max="4" width="12" style="9" customWidth="1"/>
    <col min="5" max="5" width="8" style="9" customWidth="1"/>
    <col min="6" max="6" width="14" style="9" customWidth="1"/>
  </cols>
  <sheetData>
    <row r="1" spans="1:6" x14ac:dyDescent="0.3">
      <c r="A1" s="12" t="s">
        <v>167</v>
      </c>
      <c r="B1" s="11"/>
      <c r="C1" s="11"/>
      <c r="D1" s="11"/>
      <c r="E1" s="11"/>
      <c r="F1" s="11"/>
    </row>
    <row r="2" spans="1:6" x14ac:dyDescent="0.3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</row>
    <row r="3" spans="1:6" x14ac:dyDescent="0.3">
      <c r="A3" s="2">
        <v>1</v>
      </c>
      <c r="B3" s="2" t="s">
        <v>20</v>
      </c>
      <c r="C3" s="3" t="s">
        <v>21</v>
      </c>
      <c r="D3" s="2" t="s">
        <v>22</v>
      </c>
      <c r="E3" s="2">
        <v>1</v>
      </c>
      <c r="F3" s="4" t="s">
        <v>23</v>
      </c>
    </row>
    <row r="4" spans="1:6" x14ac:dyDescent="0.3">
      <c r="A4" s="2">
        <v>2</v>
      </c>
      <c r="B4" s="2" t="s">
        <v>36</v>
      </c>
      <c r="C4" s="3" t="s">
        <v>37</v>
      </c>
      <c r="D4" s="2" t="s">
        <v>38</v>
      </c>
      <c r="E4" s="2">
        <v>1</v>
      </c>
      <c r="F4" s="5" t="s">
        <v>39</v>
      </c>
    </row>
    <row r="5" spans="1:6" x14ac:dyDescent="0.3">
      <c r="A5" s="2">
        <v>3</v>
      </c>
      <c r="B5" s="2" t="s">
        <v>52</v>
      </c>
      <c r="C5" s="3" t="s">
        <v>53</v>
      </c>
      <c r="D5" s="2" t="s">
        <v>54</v>
      </c>
      <c r="E5" s="2">
        <v>1</v>
      </c>
      <c r="F5" s="6" t="s">
        <v>55</v>
      </c>
    </row>
    <row r="6" spans="1:6" x14ac:dyDescent="0.3">
      <c r="A6" s="2">
        <v>4</v>
      </c>
      <c r="B6" s="2" t="s">
        <v>68</v>
      </c>
      <c r="C6" s="3" t="s">
        <v>69</v>
      </c>
      <c r="D6" s="2" t="s">
        <v>70</v>
      </c>
      <c r="E6" s="2">
        <v>1</v>
      </c>
      <c r="F6" s="6" t="s">
        <v>55</v>
      </c>
    </row>
    <row r="7" spans="1:6" x14ac:dyDescent="0.3">
      <c r="A7" s="2">
        <v>5</v>
      </c>
      <c r="B7" s="2" t="s">
        <v>83</v>
      </c>
      <c r="C7" s="3" t="s">
        <v>84</v>
      </c>
      <c r="D7" s="2" t="s">
        <v>85</v>
      </c>
      <c r="E7" s="2">
        <v>1</v>
      </c>
      <c r="F7" s="7" t="s">
        <v>86</v>
      </c>
    </row>
    <row r="8" spans="1:6" x14ac:dyDescent="0.3">
      <c r="A8" s="13">
        <v>6</v>
      </c>
      <c r="B8" s="13" t="s">
        <v>99</v>
      </c>
      <c r="C8" s="13" t="s">
        <v>100</v>
      </c>
      <c r="D8" s="13" t="s">
        <v>101</v>
      </c>
      <c r="E8" s="13">
        <v>1</v>
      </c>
      <c r="F8" s="14" t="s">
        <v>86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PhanCong12Tuan</vt:lpstr>
      <vt:lpstr>TongHop</vt:lpstr>
      <vt:lpstr>ThanhVien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Tien Minh</cp:lastModifiedBy>
  <dcterms:created xsi:type="dcterms:W3CDTF">2026-04-08T06:28:17Z</dcterms:created>
  <dcterms:modified xsi:type="dcterms:W3CDTF">2026-04-08T06:56:18Z</dcterms:modified>
</cp:coreProperties>
</file>